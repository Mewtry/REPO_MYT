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IFSC\ENG Mecatrônica\Modulo 10\TCC22410\Projeto PCB\MYT_PCB\bom\"/>
    </mc:Choice>
  </mc:AlternateContent>
  <xr:revisionPtr revIDLastSave="0" documentId="13_ncr:1_{31E8105B-83AF-4E13-8769-D9B04966FA69}" xr6:coauthVersionLast="47" xr6:coauthVersionMax="47" xr10:uidLastSave="{00000000-0000-0000-0000-000000000000}"/>
  <bookViews>
    <workbookView xWindow="3510" yWindow="3510" windowWidth="21600" windowHeight="11295" xr2:uid="{EA8C93C6-4EA3-488B-8D82-286B0E38301B}"/>
  </bookViews>
  <sheets>
    <sheet name="MYT_PCB" sheetId="2" r:id="rId1"/>
    <sheet name="MYT_IHM_PCB" sheetId="4" r:id="rId2"/>
  </sheets>
  <definedNames>
    <definedName name="DadosExternos_1" localSheetId="1" hidden="1">MYT_IHM_PCB!$A$1:$H$9</definedName>
    <definedName name="DadosExternos_1" localSheetId="0" hidden="1">MYT_PCB!$A$1:$H$35</definedName>
    <definedName name="_xlnm.Print_Titles" localSheetId="0">MYT_PCB!$1:$1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6" i="2" l="1"/>
  <c r="H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33E961-785A-4484-9821-EECFDDECE25B}" keepAlive="1" name="Consulta - MYT_IHM_PCB" description="Conexão com a consulta 'MYT_IHM_PCB' na pasta de trabalho." type="5" refreshedVersion="8" background="1" saveData="1">
    <dbPr connection="Provider=Microsoft.Mashup.OleDb.1;Data Source=$Workbook$;Location=MYT_IHM_PCB;Extended Properties=&quot;&quot;" command="SELECT * FROM [MYT_IHM_PCB]"/>
  </connection>
  <connection id="2" xr16:uid="{63420D11-0CD2-4C66-BCB9-5238EEE2D5E6}" keepAlive="1" name="Consulta - MYT_PCB" description="Conexão com a consulta 'MYT_PCB' na pasta de trabalho." type="5" refreshedVersion="8" background="1" saveData="1">
    <dbPr connection="Provider=Microsoft.Mashup.OleDb.1;Data Source=$Workbook$;Location=MYT_PCB;Extended Properties=&quot;&quot;" command="SELECT * FROM [MYT_PCB]"/>
  </connection>
</connections>
</file>

<file path=xl/sharedStrings.xml><?xml version="1.0" encoding="utf-8"?>
<sst xmlns="http://schemas.openxmlformats.org/spreadsheetml/2006/main" count="312" uniqueCount="202">
  <si>
    <t>Reference</t>
  </si>
  <si>
    <t>Qty</t>
  </si>
  <si>
    <t>Value</t>
  </si>
  <si>
    <t>PartNumber</t>
  </si>
  <si>
    <t>Package</t>
  </si>
  <si>
    <t>Footprint</t>
  </si>
  <si>
    <t>Descrição</t>
  </si>
  <si>
    <t>Datasheet</t>
  </si>
  <si>
    <t>U5,U9</t>
  </si>
  <si>
    <t>PCA9517ADP</t>
  </si>
  <si>
    <t>TSSOP-8</t>
  </si>
  <si>
    <t>PCA9517ADP:SOP65P490X110-8N</t>
  </si>
  <si>
    <t>Level translating I2C-bus repeater</t>
  </si>
  <si>
    <t>U22</t>
  </si>
  <si>
    <t>74LVC1G04</t>
  </si>
  <si>
    <t>SOT-23-5</t>
  </si>
  <si>
    <t>Package_TO_SOT_SMD:SOT-23-5_HandSoldering</t>
  </si>
  <si>
    <t>Single NOT Gate, Low-Voltage CMOS</t>
  </si>
  <si>
    <t>U21</t>
  </si>
  <si>
    <t>74HCT4053</t>
  </si>
  <si>
    <t>SOIC-16</t>
  </si>
  <si>
    <t>Package_SO:SOIC-16_3.9x9.9mm_P1.27mm</t>
  </si>
  <si>
    <t>8-channel analog multiplexer/demultiplexer</t>
  </si>
  <si>
    <t>U20</t>
  </si>
  <si>
    <t>TB6612FNG</t>
  </si>
  <si>
    <t>SSOP-24</t>
  </si>
  <si>
    <t>Package_SO:SSOP-24_5.3x8.2mm_P0.65mm</t>
  </si>
  <si>
    <t>Driver IC for Dual DC motor, SSOP-24</t>
  </si>
  <si>
    <t>U12,U13,U14,U15,U16,U17,U18,U19,U23</t>
  </si>
  <si>
    <t>LTV-817</t>
  </si>
  <si>
    <t>SMDIP-4</t>
  </si>
  <si>
    <t>Package_DIP:SMDIP-4_W9.53mm</t>
  </si>
  <si>
    <t>DC Optocoupler, Vce 35V, CTR 50%, SMDIP-4</t>
  </si>
  <si>
    <t>U11</t>
  </si>
  <si>
    <t>PCF8574DWR</t>
  </si>
  <si>
    <t>PCF8574DWR:SOIC127P1030X265-16N</t>
  </si>
  <si>
    <t>8-Bit I/O Expander for I2C Bus</t>
  </si>
  <si>
    <t>U10</t>
  </si>
  <si>
    <t>MAX485CSA</t>
  </si>
  <si>
    <t>SOIC-8</t>
  </si>
  <si>
    <t>Package_SO:SOIC-8_3.9x4.9mm_P1.27mm</t>
  </si>
  <si>
    <t>Half duplex RS-485/RS-422, 2.5 Mbps, ±15kV electro-static discharge (ESD) protection, no slew-rate, no low-power shutdown, with receiver/driver enable, 32 receiver drive capability, DIP-8 and SOIC-8</t>
  </si>
  <si>
    <t>U8</t>
  </si>
  <si>
    <t>SN74LVC245PW</t>
  </si>
  <si>
    <t>TSSOP-20</t>
  </si>
  <si>
    <t>Package_SO:TSSOP-20_4.4x6.5mm_P0.65mm</t>
  </si>
  <si>
    <t>8-Bit Single-Supply Bus Transceiver With 5V tolerant input voltage and 3-State Outputs 24mA, TSSOP-20</t>
  </si>
  <si>
    <t>U3,U4,U7</t>
  </si>
  <si>
    <t>74HCT245PW</t>
  </si>
  <si>
    <t>Octal BUS Transceivers, 3-State outputs</t>
  </si>
  <si>
    <t>U2</t>
  </si>
  <si>
    <t>AMS1117-3.3</t>
  </si>
  <si>
    <t>SOT-223-3</t>
  </si>
  <si>
    <t>Package_TO_SOT_SMD:SOT-223-3_TabPin2</t>
  </si>
  <si>
    <t>1A Low Dropout regulator, positive, 3.3V fixed output, SOT-223</t>
  </si>
  <si>
    <t>U1</t>
  </si>
  <si>
    <t>TPS563201</t>
  </si>
  <si>
    <t>SOT-23-6</t>
  </si>
  <si>
    <t>Package_TO_SOT_SMD:SOT-23-6</t>
  </si>
  <si>
    <t>3A Synchronous Step-Down Voltage Regulator, 4.5-17V Input Voltage, 0.76V to 7V Output Voltage, Eco mode, SOT-23-6</t>
  </si>
  <si>
    <t>SW1</t>
  </si>
  <si>
    <t>SW_SPDT</t>
  </si>
  <si>
    <t>Button_Switch_THT:SW_Slide_SPDT_Angled_CK_OS102011MA1Q</t>
  </si>
  <si>
    <t>Switch, single pole double throw</t>
  </si>
  <si>
    <t/>
  </si>
  <si>
    <t>R45</t>
  </si>
  <si>
    <t>56k</t>
  </si>
  <si>
    <t>RC0805FR-0756KL</t>
  </si>
  <si>
    <t>0805</t>
  </si>
  <si>
    <t>Resistor_SMD:R_0805_2012Metric_Pad1.20x1.40mm_HandSolder</t>
  </si>
  <si>
    <t>56k 1% (1/8W) Resistor</t>
  </si>
  <si>
    <t>R29,R31,R33,R35</t>
  </si>
  <si>
    <t>866R</t>
  </si>
  <si>
    <t>WCR2010-866R-F</t>
  </si>
  <si>
    <t>2010</t>
  </si>
  <si>
    <t>Resistor_SMD:R_2010_5025Metric_Pad1.40x2.65mm_HandSolder</t>
  </si>
  <si>
    <t>866R 1% (1/2W) Resistor</t>
  </si>
  <si>
    <t>R17,R20,R23,R26,R30,R32,R34,R36,R42</t>
  </si>
  <si>
    <t>390R</t>
  </si>
  <si>
    <t>RCT06-390RJ LF</t>
  </si>
  <si>
    <t>1206</t>
  </si>
  <si>
    <t>Resistor_SMD:R_1206_3216Metric_Pad1.30x1.75mm_HandSolder</t>
  </si>
  <si>
    <t>390R 5% (1/4W) Resistor</t>
  </si>
  <si>
    <t>R2,R3,R4,R5,R6,R7,R8,R9,R10,R11,R13,R14,R15,R16,R19,R22,R25,R28,R41,R43,R44,R46</t>
  </si>
  <si>
    <t>10k</t>
  </si>
  <si>
    <t>RCT0510KFLF</t>
  </si>
  <si>
    <t>10k 1% (1/8W) Resistor</t>
  </si>
  <si>
    <t>R1,R18,R21,R24,R27,R37,R38,R39,R40</t>
  </si>
  <si>
    <t>2k7</t>
  </si>
  <si>
    <t>0805J0272T5E</t>
  </si>
  <si>
    <t>2k7 5% (1/8W) Resistor</t>
  </si>
  <si>
    <t>Q1,Q2,Q3,Q4</t>
  </si>
  <si>
    <t>BSS138</t>
  </si>
  <si>
    <t>SOT-23</t>
  </si>
  <si>
    <t>Package_TO_SOT_SMD:SOT-23</t>
  </si>
  <si>
    <t>50V Vds, 0.22A Id, N-Channel MOSFET, SOT-23</t>
  </si>
  <si>
    <t>L1</t>
  </si>
  <si>
    <t>3,3uH</t>
  </si>
  <si>
    <t>SLF10165T-3R3N5R8-3PF</t>
  </si>
  <si>
    <t>TDK_SLF10165</t>
  </si>
  <si>
    <t>Inductor_SMD:L_TDK_SLF10165</t>
  </si>
  <si>
    <t>3.3uH 30% 5.8A Inductor</t>
  </si>
  <si>
    <t>K1,K2,K3,K4</t>
  </si>
  <si>
    <t>Relé</t>
  </si>
  <si>
    <t>SRD-12VDC-SL-C</t>
  </si>
  <si>
    <t>Relay From C</t>
  </si>
  <si>
    <t>Relay_THT:Relay_SPDT_SANYOU_SRD_Series_Form_C</t>
  </si>
  <si>
    <t>Sanyo SRD relay, Single Pole Miniature Power Relay,</t>
  </si>
  <si>
    <t>J6</t>
  </si>
  <si>
    <t>Connector_Molex:Molex_KK-254_AE-6410-09A_1x09_P2.54mm_Vertical</t>
  </si>
  <si>
    <t>J5</t>
  </si>
  <si>
    <t>TerminalBlock_Phoenix:TerminalBlock_Phoenix_PT-1,5-3-5.0-H_1x03_P5.00mm_Horizontal</t>
  </si>
  <si>
    <t>J4,J8</t>
  </si>
  <si>
    <t>TerminalBlock_Phoenix:TerminalBlock_Phoenix_PT-1,5-12-5.0-H_1x12_P5.00mm_Horizontal</t>
  </si>
  <si>
    <t>J3,J7</t>
  </si>
  <si>
    <t>TerminalBlock_Phoenix:TerminalBlock_Phoenix_PT-1,5-6-5.0-H_1x06_P5.00mm_Horizontal</t>
  </si>
  <si>
    <t>J1,J2,J9</t>
  </si>
  <si>
    <t>TerminalBlock_Phoenix:TerminalBlock_Phoenix_PT-1,5-2-5.0-H_1x02_P5.00mm_Horizontal</t>
  </si>
  <si>
    <t>D12,D14,D16,D18</t>
  </si>
  <si>
    <t>SMBJ8.5A</t>
  </si>
  <si>
    <t>SMB(DO-214AA)</t>
  </si>
  <si>
    <t>Diode_SMD:D_SMB_Handsoldering</t>
  </si>
  <si>
    <t>600W unidirectional Transient Voltage Suppressor, 8.5Vr, SMB(DO-214AA)</t>
  </si>
  <si>
    <t>D4,D6,D8,D10,D11,D13,D15,D17</t>
  </si>
  <si>
    <t>1N4148W</t>
  </si>
  <si>
    <t>SOD-123</t>
  </si>
  <si>
    <t>Diode_SMD:D_SOD-123</t>
  </si>
  <si>
    <t>75V 0.15A Fast Switching Diode, SOD-123</t>
  </si>
  <si>
    <t>D2</t>
  </si>
  <si>
    <t>SM712</t>
  </si>
  <si>
    <t>7V/12V, 600W Asymmetrical TVS Diode Array, SOT-23</t>
  </si>
  <si>
    <t>D1,D3,D5,D7,D9,D19,D20,D21,D22</t>
  </si>
  <si>
    <t>LED</t>
  </si>
  <si>
    <t>150080RS75000</t>
  </si>
  <si>
    <t>LED_SMD:LED_0805_2012Metric_Pad1.15x1.40mm_HandSolder</t>
  </si>
  <si>
    <t>LED RED 160 mcd</t>
  </si>
  <si>
    <t>C18,C19,C20,C21</t>
  </si>
  <si>
    <t>100nF / 50V</t>
  </si>
  <si>
    <t>CC0603KRX7R9BB104</t>
  </si>
  <si>
    <t>0603</t>
  </si>
  <si>
    <t>Capacitor_SMD:C_0603_1608Metric_Pad1.08x0.95mm_HandSolder</t>
  </si>
  <si>
    <t>100nF 25V 10% X7R Ceramic Capacitor</t>
  </si>
  <si>
    <t>C5</t>
  </si>
  <si>
    <t>100uF / 10V</t>
  </si>
  <si>
    <t>TAJB107M010SNJ</t>
  </si>
  <si>
    <t>Case B / 1210</t>
  </si>
  <si>
    <t>Capacitor_Tantalum_SMD:CP_EIA-3528-21_Kemet-B_HandSolder</t>
  </si>
  <si>
    <t>100uF 10V 10% Tantalum Capacitor</t>
  </si>
  <si>
    <t>C3</t>
  </si>
  <si>
    <t>47uF / 16V</t>
  </si>
  <si>
    <t>CL31A476MPHNNNE</t>
  </si>
  <si>
    <t>Capacitor_SMD:C_1206_3216Metric</t>
  </si>
  <si>
    <t>47uF 16V 20% X5R Ceramic Capacitor</t>
  </si>
  <si>
    <t>C2,C6,C7,C8,C9,C10,C11,C12,C13,C14,C15,C16,C17,C24,C25</t>
  </si>
  <si>
    <t>100nF / 25V</t>
  </si>
  <si>
    <t>CL10B104KA8NNNC</t>
  </si>
  <si>
    <t>0402</t>
  </si>
  <si>
    <t>Capacitor_SMD:C_0402_1005Metric_Pad0.74x0.62mm_HandSolder</t>
  </si>
  <si>
    <t>C1,C4,C22,C23</t>
  </si>
  <si>
    <t>10uF / 25V</t>
  </si>
  <si>
    <t>CL21A106KAYNNNE</t>
  </si>
  <si>
    <t>Capacitor_SMD:C_0805_2012Metric</t>
  </si>
  <si>
    <t>10uF 25V 10% X5R Ceramic Capacitor</t>
  </si>
  <si>
    <t>Link</t>
  </si>
  <si>
    <t>Total</t>
  </si>
  <si>
    <t>C2,C3,C4</t>
  </si>
  <si>
    <t>100nF</t>
  </si>
  <si>
    <t>CL05B104KO5NNNC</t>
  </si>
  <si>
    <t>J1,J2</t>
  </si>
  <si>
    <t>KK-254_AE-6410-09A</t>
  </si>
  <si>
    <t>IHM Interface Conector,Teclado Matricial Conector</t>
  </si>
  <si>
    <t>J3</t>
  </si>
  <si>
    <t>Encoder</t>
  </si>
  <si>
    <t>Connector_Molex:Molex_KK-254_AE-6410-05A_1x05_P2.54mm_Vertical</t>
  </si>
  <si>
    <t>Encoder Conector</t>
  </si>
  <si>
    <t>J4</t>
  </si>
  <si>
    <t>LCD I2C</t>
  </si>
  <si>
    <t>Connector_Molex:Molex_KK-254_AE-6410-04A_1x04_P2.54mm_Vertical</t>
  </si>
  <si>
    <t>LDC I2C Conector</t>
  </si>
  <si>
    <t>CC56-12EWA</t>
  </si>
  <si>
    <t>Connector_Molex:Molex_KK-254_AE-6410-12A_1x12_P2.54mm_Vertical</t>
  </si>
  <si>
    <t>Display 7 SEG 4 Digitos DP Conector</t>
  </si>
  <si>
    <t>R1,R2,R6,R7,R9,R10,R14</t>
  </si>
  <si>
    <t>0603WAF1002T5E</t>
  </si>
  <si>
    <t>Resistor_SMD:R_0603_1608Metric</t>
  </si>
  <si>
    <t>HT16K33</t>
  </si>
  <si>
    <t>SSOP-28</t>
  </si>
  <si>
    <t>Package_SO:SSOP-28_3.9x9.9mm_P0.635mm</t>
  </si>
  <si>
    <t>RAM Mapping 16*8 LED Controller Driver with keyscan</t>
  </si>
  <si>
    <t>U3</t>
  </si>
  <si>
    <t>100nF 16V 10% X7R Ceramic Capacitor</t>
  </si>
  <si>
    <t>IHM Interface Conector</t>
  </si>
  <si>
    <t>RS485</t>
  </si>
  <si>
    <t>Sensores Esteira, GP OUT</t>
  </si>
  <si>
    <t>Motor Magazine, GP IN</t>
  </si>
  <si>
    <t>Vin, Motor Esteira, Zero Magazine</t>
  </si>
  <si>
    <t>Terminal Block P5.0</t>
  </si>
  <si>
    <t>KK-254</t>
  </si>
  <si>
    <t>AE-6410-09A</t>
  </si>
  <si>
    <t>AE-6410-05A</t>
  </si>
  <si>
    <t>AE-6410-04A</t>
  </si>
  <si>
    <t>AE-6410-12A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</si>
</sst>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2">
    <cellStyle name="Hiperlink" xfId="1" builtinId="8"/>
    <cellStyle name="Normal" xfId="0" builtinId="0"/>
  </cellStyles>
  <dxfs count="37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0EA8143-8CD5-43F3-A66D-A73DBDB0151E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PartNumber" tableColumnId="4"/>
      <queryTableField id="5" name="Package" tableColumnId="5"/>
      <queryTableField id="6" name="Footprint" tableColumnId="6"/>
      <queryTableField id="7" name="Descrição" tableColumnId="7"/>
      <queryTableField id="8" name="Datashee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992009C-6D58-483E-8EE4-01F49268F448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PartNumber" tableColumnId="4"/>
      <queryTableField id="5" name="Package" tableColumnId="5"/>
      <queryTableField id="6" name="Footprint" tableColumnId="6"/>
      <queryTableField id="7" name="Descrição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638BF-5829-442E-9E13-7DC61FB0B25D}" name="MYT_PCB" displayName="MYT_PCB" ref="A1:H36" tableType="queryTable" totalsRowCount="1" headerRowDxfId="36" dataDxfId="35">
  <autoFilter ref="A1:H35" xr:uid="{B59638BF-5829-442E-9E13-7DC61FB0B2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08B9C4-CAE1-4D73-B65C-8F25BF8BDE8F}" uniqueName="1" name="Reference" totalsRowLabel="Total" queryTableFieldId="1" dataDxfId="34" totalsRowDxfId="33"/>
    <tableColumn id="2" xr3:uid="{521DFF10-2795-4B1D-AF12-5EFC7316373C}" uniqueName="2" name="Qty" queryTableFieldId="2" dataDxfId="32" totalsRowDxfId="31"/>
    <tableColumn id="3" xr3:uid="{CDBD0F79-182D-4623-B34C-712CB28404C4}" uniqueName="3" name="Value" queryTableFieldId="3" dataDxfId="30" totalsRowDxfId="29"/>
    <tableColumn id="4" xr3:uid="{FFA441AF-C60C-4301-9AA5-5C39251DCF48}" uniqueName="4" name="PartNumber" queryTableFieldId="4" dataDxfId="28" totalsRowDxfId="27"/>
    <tableColumn id="5" xr3:uid="{D1003397-7059-4527-878F-F9510672AEED}" uniqueName="5" name="Package" queryTableFieldId="5" dataDxfId="26" totalsRowDxfId="25"/>
    <tableColumn id="6" xr3:uid="{6FE5AA07-4637-4283-BF5C-C86093ABD558}" uniqueName="6" name="Footprint" queryTableFieldId="6" dataDxfId="24" totalsRowDxfId="23"/>
    <tableColumn id="7" xr3:uid="{556FFD83-FAE1-40BB-8E60-715F70BFDD2B}" uniqueName="7" name="Descrição" queryTableFieldId="7" dataDxfId="22" totalsRowDxfId="21"/>
    <tableColumn id="8" xr3:uid="{48ED1463-889A-4BBC-8F7C-06335FDA9142}" uniqueName="8" name="Datasheet" totalsRowFunction="count" queryTableFieldId="8" dataDxfId="20" totalsRow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78A3B-D043-4CFF-BFCB-010D540416B4}" name="MYT_IHM_PCB" displayName="MYT_IHM_PCB" ref="A1:H10" tableType="queryTable" totalsRowCount="1" headerRowDxfId="18" dataDxfId="17" totalsRowDxfId="16">
  <autoFilter ref="A1:H9" xr:uid="{70D78A3B-D043-4CFF-BFCB-010D540416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972371D-2D61-4ABF-BA0B-17C628C22A47}" uniqueName="1" name="Reference" totalsRowLabel="Total" queryTableFieldId="1" dataDxfId="15" totalsRowDxfId="14"/>
    <tableColumn id="2" xr3:uid="{009FAE35-5B0A-4A57-B03C-719C5ABE0DB4}" uniqueName="2" name="Qty" queryTableFieldId="2" dataDxfId="13" totalsRowDxfId="12"/>
    <tableColumn id="3" xr3:uid="{A6E3E51A-28BE-41A6-90C9-079A3CFB0FC8}" uniqueName="3" name="Value" queryTableFieldId="3" dataDxfId="11" totalsRowDxfId="10"/>
    <tableColumn id="4" xr3:uid="{D0EBF241-2593-46AA-A6DE-1DB7EC03A3E1}" uniqueName="4" name="PartNumber" queryTableFieldId="4" dataDxfId="9" totalsRowDxfId="8"/>
    <tableColumn id="5" xr3:uid="{84CBBE4B-2D18-4E80-B5C2-1A9D82EE298E}" uniqueName="5" name="Package" queryTableFieldId="5" dataDxfId="7" totalsRowDxfId="6"/>
    <tableColumn id="6" xr3:uid="{D80E809C-E4A4-4D9D-8906-CB4813A42874}" uniqueName="6" name="Footprint" queryTableFieldId="6" dataDxfId="5" totalsRowDxfId="4"/>
    <tableColumn id="7" xr3:uid="{6E0B989D-CA86-42EC-B105-E9ABB5F58A3C}" uniqueName="7" name="Descrição" queryTableFieldId="7" dataDxfId="3" totalsRowDxfId="2"/>
    <tableColumn id="8" xr3:uid="{B8C2E15F-2703-45A1-8455-9D4567CD7684}" uniqueName="8" name="Datasheet" totalsRowFunction="count" queryTableFieldId="8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shay.com/docs/86356/1n4148w.pdf" TargetMode="External"/><Relationship Id="rId13" Type="http://schemas.openxmlformats.org/officeDocument/2006/relationships/hyperlink" Target="https://www.royalohm.com/assets/pdf/products/smd/1.pdf" TargetMode="External"/><Relationship Id="rId18" Type="http://schemas.openxmlformats.org/officeDocument/2006/relationships/hyperlink" Target="https://www.ti.com/lit/ds/symlink/tps563201.pdf" TargetMode="External"/><Relationship Id="rId26" Type="http://schemas.openxmlformats.org/officeDocument/2006/relationships/hyperlink" Target="https://assets.nexperia.com/documents/data-sheet/74HC_HCT4053.pdf" TargetMode="External"/><Relationship Id="rId3" Type="http://schemas.openxmlformats.org/officeDocument/2006/relationships/hyperlink" Target="https://datasheet.lcsc.com/lcsc/2304140030_Samsung-Electro-Mechanics-CL31A476MPHNNNE_C96123.pdf" TargetMode="External"/><Relationship Id="rId21" Type="http://schemas.openxmlformats.org/officeDocument/2006/relationships/hyperlink" Target="https://www.ti.com/lit/ds/scas218x/scas218x.pdf" TargetMode="External"/><Relationship Id="rId7" Type="http://schemas.openxmlformats.org/officeDocument/2006/relationships/hyperlink" Target="https://www.littelfuse.com/~/media/electronics/datasheets/tvs_diode_arrays/littelfuse_tvs_diode_array_sm712_datasheet.pdf.pdf" TargetMode="External"/><Relationship Id="rId12" Type="http://schemas.openxmlformats.org/officeDocument/2006/relationships/hyperlink" Target="https://www.onsemi.com/pub/Collateral/BSS138-D.PDF" TargetMode="External"/><Relationship Id="rId17" Type="http://schemas.openxmlformats.org/officeDocument/2006/relationships/hyperlink" Target="https://www.mouser.com/catalog/specsheets/YAGEO_PYu_RC_Group_51_RoHS_L_12.pdf" TargetMode="External"/><Relationship Id="rId25" Type="http://schemas.openxmlformats.org/officeDocument/2006/relationships/hyperlink" Target="https://cdn.sparkfun.com/datasheets/Robotics/TB6612FNG.pdf" TargetMode="External"/><Relationship Id="rId2" Type="http://schemas.openxmlformats.org/officeDocument/2006/relationships/hyperlink" Target="https://weblib.samsungsem.com/mlcc/mlcc-ec-data-sheet.do?partNumber=CL10B104KA8NNN" TargetMode="External"/><Relationship Id="rId16" Type="http://schemas.openxmlformats.org/officeDocument/2006/relationships/hyperlink" Target="https://www.mouser.com/datasheet/3/1423/1/WCR.pdf" TargetMode="External"/><Relationship Id="rId20" Type="http://schemas.openxmlformats.org/officeDocument/2006/relationships/hyperlink" Target="http://www.ti.com/lit/gpn/sn74HCT245" TargetMode="External"/><Relationship Id="rId29" Type="http://schemas.openxmlformats.org/officeDocument/2006/relationships/hyperlink" Target="https://www.molex.com/en-us/products/part-detail/22292091?display=pdf" TargetMode="External"/><Relationship Id="rId1" Type="http://schemas.openxmlformats.org/officeDocument/2006/relationships/hyperlink" Target="https://www.digikey.com.br/en/products/detail/samsung-electro-mechanics/CL21A106KOQNNNE/3886754" TargetMode="External"/><Relationship Id="rId6" Type="http://schemas.openxmlformats.org/officeDocument/2006/relationships/hyperlink" Target="https://www.we-online.com/components/products/datasheet/150080RS75000.pdf?srsltid=AfmBOop0S4nVXbS51-s_y2z4Y3X72AnHpprkIiOpOXbnGKh_B7YELqqy" TargetMode="External"/><Relationship Id="rId11" Type="http://schemas.openxmlformats.org/officeDocument/2006/relationships/hyperlink" Target="https://product.tdk.com/en/system/files/dam/doc/product/inductor/inductor/smd/catalog/inductor_commercial_power_slf10165_en.pdf" TargetMode="External"/><Relationship Id="rId24" Type="http://schemas.openxmlformats.org/officeDocument/2006/relationships/hyperlink" Target="https://optoelectronics.liteon.com/upload/download/ds-70-96-0016/ltv-8x7%20series%20201610%20.pdf" TargetMode="External"/><Relationship Id="rId5" Type="http://schemas.openxmlformats.org/officeDocument/2006/relationships/hyperlink" Target="https://br.mouser.com/datasheet/3/508/1/UPY_GPHC_X7R_6_3V_TO_250V.pdf" TargetMode="External"/><Relationship Id="rId15" Type="http://schemas.openxmlformats.org/officeDocument/2006/relationships/hyperlink" Target="https://www.urt-resistors.com/products/smd/RCT-chip-resistors.pdf" TargetMode="External"/><Relationship Id="rId23" Type="http://schemas.openxmlformats.org/officeDocument/2006/relationships/hyperlink" Target="https://www.ti.com/lit/ds/symlink/pcf8574.pdf" TargetMode="External"/><Relationship Id="rId28" Type="http://schemas.openxmlformats.org/officeDocument/2006/relationships/hyperlink" Target="https://www.nxp.com/docs/en/data-sheet/PCA9517A.pdf" TargetMode="External"/><Relationship Id="rId10" Type="http://schemas.openxmlformats.org/officeDocument/2006/relationships/hyperlink" Target="http://www.sanyourelay.ca/public/products/pdf/SRD.pdf" TargetMode="External"/><Relationship Id="rId19" Type="http://schemas.openxmlformats.org/officeDocument/2006/relationships/hyperlink" Target="http://www.advanced-monolithic.com/pdf/ds1117.pdf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datasheets.kyocera-avx.com/TAJ.pdf" TargetMode="External"/><Relationship Id="rId9" Type="http://schemas.openxmlformats.org/officeDocument/2006/relationships/hyperlink" Target="https://www.littelfuse.com/assetdocs/tvs-diodes-smbj-series-datasheet?assetguid=ba555e99-a12d-4f72-a0b6-86b06c67171e" TargetMode="External"/><Relationship Id="rId14" Type="http://schemas.openxmlformats.org/officeDocument/2006/relationships/hyperlink" Target="https://www.urt-resistors.com/products/smd/RCT-chip-resistors.pdf" TargetMode="External"/><Relationship Id="rId22" Type="http://schemas.openxmlformats.org/officeDocument/2006/relationships/hyperlink" Target="https://datasheets.maximintegrated.com/en/ds/MAX1487E-MAX491E.pdf" TargetMode="External"/><Relationship Id="rId27" Type="http://schemas.openxmlformats.org/officeDocument/2006/relationships/hyperlink" Target="https://www.ti.com/lit/ds/symlink/sn74lvc1g04.pdf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datasheet/lcsc_datasheet_2304140030_Samsung-Electro-Mechanics-CL05B104KO5NNNC_C1525.pdf" TargetMode="External"/><Relationship Id="rId3" Type="http://schemas.openxmlformats.org/officeDocument/2006/relationships/hyperlink" Target="https://www.royalohm.com/assets/pdf/products/smd/1.pdf" TargetMode="External"/><Relationship Id="rId7" Type="http://schemas.openxmlformats.org/officeDocument/2006/relationships/hyperlink" Target="https://www.molex.com/en-us/products/part-detail/22292091?display=pdf" TargetMode="External"/><Relationship Id="rId2" Type="http://schemas.openxmlformats.org/officeDocument/2006/relationships/hyperlink" Target="https://cdn-shop.adafruit.com/datasheets/ht16K33v110.pdf" TargetMode="External"/><Relationship Id="rId1" Type="http://schemas.openxmlformats.org/officeDocument/2006/relationships/hyperlink" Target="https://www.nxp.com/docs/en/data-sheet/PCA9517A.pdf" TargetMode="External"/><Relationship Id="rId6" Type="http://schemas.openxmlformats.org/officeDocument/2006/relationships/hyperlink" Target="https://www.molex.com/en-us/products/part-detail/22292051?display=pdf" TargetMode="External"/><Relationship Id="rId5" Type="http://schemas.openxmlformats.org/officeDocument/2006/relationships/hyperlink" Target="https://www.molex.com/en-us/products/part-detail/22292041?display=pdf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www.molex.com/en-us/products/part-detail/22272121?display=pdf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9FDC-CEAA-481B-96FB-87AFA3A85BE1}">
  <sheetPr>
    <pageSetUpPr fitToPage="1"/>
  </sheetPr>
  <dimension ref="A1:O36"/>
  <sheetViews>
    <sheetView showGridLines="0" tabSelected="1" zoomScale="70" zoomScaleNormal="70" workbookViewId="0">
      <selection activeCell="J6" sqref="J6"/>
    </sheetView>
  </sheetViews>
  <sheetFormatPr defaultRowHeight="15" x14ac:dyDescent="0.25"/>
  <cols>
    <col min="1" max="1" width="27" style="3" customWidth="1"/>
    <col min="2" max="2" width="6.42578125" style="1" bestFit="1" customWidth="1"/>
    <col min="3" max="3" width="14.5703125" style="2" bestFit="1" customWidth="1"/>
    <col min="4" max="4" width="27.42578125" style="2" bestFit="1" customWidth="1"/>
    <col min="5" max="5" width="23.5703125" style="2" bestFit="1" customWidth="1"/>
    <col min="6" max="6" width="51.42578125" style="3" customWidth="1"/>
    <col min="7" max="7" width="41" style="3" customWidth="1"/>
    <col min="8" max="8" width="14.5703125" style="1" customWidth="1"/>
    <col min="9" max="16384" width="9.140625" style="2"/>
  </cols>
  <sheetData>
    <row r="1" spans="1:1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</row>
    <row r="2" spans="1:15" x14ac:dyDescent="0.25">
      <c r="A2" s="3" t="s">
        <v>8</v>
      </c>
      <c r="B2" s="1">
        <v>2</v>
      </c>
      <c r="C2" s="2" t="s">
        <v>9</v>
      </c>
      <c r="D2" s="2" t="s">
        <v>9</v>
      </c>
      <c r="E2" s="2" t="s">
        <v>10</v>
      </c>
      <c r="F2" s="3" t="s">
        <v>11</v>
      </c>
      <c r="G2" s="3" t="s">
        <v>12</v>
      </c>
      <c r="H2" s="4" t="s">
        <v>163</v>
      </c>
    </row>
    <row r="3" spans="1:15" x14ac:dyDescent="0.25">
      <c r="A3" s="3" t="s">
        <v>13</v>
      </c>
      <c r="B3" s="1">
        <v>1</v>
      </c>
      <c r="C3" s="2" t="s">
        <v>14</v>
      </c>
      <c r="D3" s="2" t="s">
        <v>14</v>
      </c>
      <c r="E3" s="2" t="s">
        <v>15</v>
      </c>
      <c r="F3" s="3" t="s">
        <v>16</v>
      </c>
      <c r="G3" s="3" t="s">
        <v>17</v>
      </c>
      <c r="H3" s="4" t="s">
        <v>163</v>
      </c>
    </row>
    <row r="4" spans="1:15" x14ac:dyDescent="0.25">
      <c r="A4" s="3" t="s">
        <v>18</v>
      </c>
      <c r="B4" s="1">
        <v>1</v>
      </c>
      <c r="C4" s="2" t="s">
        <v>19</v>
      </c>
      <c r="D4" s="2" t="s">
        <v>19</v>
      </c>
      <c r="E4" s="2" t="s">
        <v>20</v>
      </c>
      <c r="F4" s="3" t="s">
        <v>21</v>
      </c>
      <c r="G4" s="3" t="s">
        <v>22</v>
      </c>
      <c r="H4" s="4" t="s">
        <v>163</v>
      </c>
    </row>
    <row r="5" spans="1:15" x14ac:dyDescent="0.25">
      <c r="A5" s="3" t="s">
        <v>23</v>
      </c>
      <c r="B5" s="1">
        <v>1</v>
      </c>
      <c r="C5" s="2" t="s">
        <v>24</v>
      </c>
      <c r="D5" s="2" t="s">
        <v>24</v>
      </c>
      <c r="E5" s="2" t="s">
        <v>25</v>
      </c>
      <c r="F5" s="3" t="s">
        <v>26</v>
      </c>
      <c r="G5" s="3" t="s">
        <v>27</v>
      </c>
      <c r="H5" s="4" t="s">
        <v>163</v>
      </c>
    </row>
    <row r="6" spans="1:15" ht="30" x14ac:dyDescent="0.25">
      <c r="A6" s="3" t="s">
        <v>28</v>
      </c>
      <c r="B6" s="1">
        <v>9</v>
      </c>
      <c r="C6" s="2" t="s">
        <v>29</v>
      </c>
      <c r="D6" s="2" t="s">
        <v>29</v>
      </c>
      <c r="E6" s="2" t="s">
        <v>30</v>
      </c>
      <c r="F6" s="3" t="s">
        <v>31</v>
      </c>
      <c r="G6" s="3" t="s">
        <v>32</v>
      </c>
      <c r="H6" s="4" t="s">
        <v>163</v>
      </c>
    </row>
    <row r="7" spans="1:15" x14ac:dyDescent="0.25">
      <c r="A7" s="3" t="s">
        <v>33</v>
      </c>
      <c r="B7" s="1">
        <v>1</v>
      </c>
      <c r="C7" s="2" t="s">
        <v>34</v>
      </c>
      <c r="D7" s="2" t="s">
        <v>34</v>
      </c>
      <c r="E7" s="2" t="s">
        <v>20</v>
      </c>
      <c r="F7" s="3" t="s">
        <v>35</v>
      </c>
      <c r="G7" s="3" t="s">
        <v>36</v>
      </c>
      <c r="H7" s="4" t="s">
        <v>163</v>
      </c>
    </row>
    <row r="8" spans="1:15" ht="75" x14ac:dyDescent="0.25">
      <c r="A8" s="3" t="s">
        <v>37</v>
      </c>
      <c r="B8" s="1">
        <v>1</v>
      </c>
      <c r="C8" s="2" t="s">
        <v>38</v>
      </c>
      <c r="D8" s="2" t="s">
        <v>38</v>
      </c>
      <c r="E8" s="2" t="s">
        <v>39</v>
      </c>
      <c r="F8" s="3" t="s">
        <v>40</v>
      </c>
      <c r="G8" s="3" t="s">
        <v>41</v>
      </c>
      <c r="H8" s="4" t="s">
        <v>163</v>
      </c>
    </row>
    <row r="9" spans="1:15" ht="45" x14ac:dyDescent="0.25">
      <c r="A9" s="3" t="s">
        <v>42</v>
      </c>
      <c r="B9" s="1">
        <v>1</v>
      </c>
      <c r="C9" s="2" t="s">
        <v>43</v>
      </c>
      <c r="D9" s="2" t="s">
        <v>43</v>
      </c>
      <c r="E9" s="2" t="s">
        <v>44</v>
      </c>
      <c r="F9" s="3" t="s">
        <v>45</v>
      </c>
      <c r="G9" s="3" t="s">
        <v>46</v>
      </c>
      <c r="H9" s="4" t="s">
        <v>163</v>
      </c>
      <c r="O9" s="5"/>
    </row>
    <row r="10" spans="1:15" x14ac:dyDescent="0.25">
      <c r="A10" s="3" t="s">
        <v>47</v>
      </c>
      <c r="B10" s="1">
        <v>3</v>
      </c>
      <c r="C10" s="2" t="s">
        <v>48</v>
      </c>
      <c r="D10" s="2" t="s">
        <v>48</v>
      </c>
      <c r="E10" s="2" t="s">
        <v>44</v>
      </c>
      <c r="F10" s="3" t="s">
        <v>45</v>
      </c>
      <c r="G10" s="3" t="s">
        <v>49</v>
      </c>
      <c r="H10" s="4" t="s">
        <v>163</v>
      </c>
    </row>
    <row r="11" spans="1:15" ht="30" x14ac:dyDescent="0.25">
      <c r="A11" s="3" t="s">
        <v>50</v>
      </c>
      <c r="B11" s="1">
        <v>1</v>
      </c>
      <c r="C11" s="2" t="s">
        <v>51</v>
      </c>
      <c r="D11" s="2" t="s">
        <v>51</v>
      </c>
      <c r="E11" s="2" t="s">
        <v>52</v>
      </c>
      <c r="F11" s="3" t="s">
        <v>53</v>
      </c>
      <c r="G11" s="3" t="s">
        <v>54</v>
      </c>
      <c r="H11" s="4" t="s">
        <v>163</v>
      </c>
    </row>
    <row r="12" spans="1:15" ht="45" x14ac:dyDescent="0.25">
      <c r="A12" s="3" t="s">
        <v>55</v>
      </c>
      <c r="B12" s="1">
        <v>1</v>
      </c>
      <c r="C12" s="2" t="s">
        <v>56</v>
      </c>
      <c r="D12" s="2" t="s">
        <v>56</v>
      </c>
      <c r="E12" s="2" t="s">
        <v>57</v>
      </c>
      <c r="F12" s="3" t="s">
        <v>58</v>
      </c>
      <c r="G12" s="3" t="s">
        <v>59</v>
      </c>
      <c r="H12" s="4" t="s">
        <v>163</v>
      </c>
    </row>
    <row r="13" spans="1:15" ht="30" x14ac:dyDescent="0.25">
      <c r="A13" s="3" t="s">
        <v>60</v>
      </c>
      <c r="B13" s="1">
        <v>1</v>
      </c>
      <c r="C13" s="2" t="s">
        <v>61</v>
      </c>
      <c r="D13" s="2" t="s">
        <v>61</v>
      </c>
      <c r="E13" s="2" t="s">
        <v>61</v>
      </c>
      <c r="F13" s="3" t="s">
        <v>62</v>
      </c>
      <c r="G13" s="3" t="s">
        <v>63</v>
      </c>
      <c r="H13" s="1" t="s">
        <v>64</v>
      </c>
    </row>
    <row r="14" spans="1:15" ht="30" x14ac:dyDescent="0.25">
      <c r="A14" s="3" t="s">
        <v>65</v>
      </c>
      <c r="B14" s="1">
        <v>1</v>
      </c>
      <c r="C14" s="2" t="s">
        <v>66</v>
      </c>
      <c r="D14" s="2" t="s">
        <v>67</v>
      </c>
      <c r="E14" s="2" t="s">
        <v>68</v>
      </c>
      <c r="F14" s="3" t="s">
        <v>69</v>
      </c>
      <c r="G14" s="3" t="s">
        <v>70</v>
      </c>
      <c r="H14" s="4" t="s">
        <v>163</v>
      </c>
    </row>
    <row r="15" spans="1:15" ht="30" x14ac:dyDescent="0.25">
      <c r="A15" s="3" t="s">
        <v>71</v>
      </c>
      <c r="B15" s="1">
        <v>4</v>
      </c>
      <c r="C15" s="2" t="s">
        <v>72</v>
      </c>
      <c r="D15" s="2" t="s">
        <v>73</v>
      </c>
      <c r="E15" s="2" t="s">
        <v>74</v>
      </c>
      <c r="F15" s="3" t="s">
        <v>75</v>
      </c>
      <c r="G15" s="3" t="s">
        <v>76</v>
      </c>
      <c r="H15" s="4" t="s">
        <v>163</v>
      </c>
    </row>
    <row r="16" spans="1:15" ht="30" x14ac:dyDescent="0.25">
      <c r="A16" s="3" t="s">
        <v>77</v>
      </c>
      <c r="B16" s="1">
        <v>9</v>
      </c>
      <c r="C16" s="2" t="s">
        <v>78</v>
      </c>
      <c r="D16" s="2" t="s">
        <v>79</v>
      </c>
      <c r="E16" s="2" t="s">
        <v>80</v>
      </c>
      <c r="F16" s="3" t="s">
        <v>81</v>
      </c>
      <c r="G16" s="3" t="s">
        <v>82</v>
      </c>
      <c r="H16" s="4" t="s">
        <v>163</v>
      </c>
    </row>
    <row r="17" spans="1:8" ht="45" x14ac:dyDescent="0.25">
      <c r="A17" s="3" t="s">
        <v>83</v>
      </c>
      <c r="B17" s="1">
        <v>22</v>
      </c>
      <c r="C17" s="2" t="s">
        <v>84</v>
      </c>
      <c r="D17" s="2" t="s">
        <v>85</v>
      </c>
      <c r="E17" s="2" t="s">
        <v>68</v>
      </c>
      <c r="F17" s="3" t="s">
        <v>69</v>
      </c>
      <c r="G17" s="3" t="s">
        <v>86</v>
      </c>
      <c r="H17" s="4" t="s">
        <v>163</v>
      </c>
    </row>
    <row r="18" spans="1:8" ht="30" x14ac:dyDescent="0.25">
      <c r="A18" s="3" t="s">
        <v>87</v>
      </c>
      <c r="B18" s="1">
        <v>9</v>
      </c>
      <c r="C18" s="2" t="s">
        <v>88</v>
      </c>
      <c r="D18" s="2" t="s">
        <v>89</v>
      </c>
      <c r="E18" s="2" t="s">
        <v>68</v>
      </c>
      <c r="F18" s="3" t="s">
        <v>69</v>
      </c>
      <c r="G18" s="3" t="s">
        <v>90</v>
      </c>
      <c r="H18" s="4" t="s">
        <v>163</v>
      </c>
    </row>
    <row r="19" spans="1:8" ht="30" x14ac:dyDescent="0.25">
      <c r="A19" s="3" t="s">
        <v>91</v>
      </c>
      <c r="B19" s="1">
        <v>4</v>
      </c>
      <c r="C19" s="2" t="s">
        <v>92</v>
      </c>
      <c r="D19" s="2" t="s">
        <v>92</v>
      </c>
      <c r="E19" s="2" t="s">
        <v>93</v>
      </c>
      <c r="F19" s="3" t="s">
        <v>94</v>
      </c>
      <c r="G19" s="3" t="s">
        <v>95</v>
      </c>
      <c r="H19" s="4" t="s">
        <v>163</v>
      </c>
    </row>
    <row r="20" spans="1:8" x14ac:dyDescent="0.25">
      <c r="A20" s="3" t="s">
        <v>96</v>
      </c>
      <c r="B20" s="1">
        <v>1</v>
      </c>
      <c r="C20" s="2" t="s">
        <v>97</v>
      </c>
      <c r="D20" s="2" t="s">
        <v>98</v>
      </c>
      <c r="E20" s="2" t="s">
        <v>99</v>
      </c>
      <c r="F20" s="3" t="s">
        <v>100</v>
      </c>
      <c r="G20" s="3" t="s">
        <v>101</v>
      </c>
      <c r="H20" s="4" t="s">
        <v>163</v>
      </c>
    </row>
    <row r="21" spans="1:8" ht="30" x14ac:dyDescent="0.25">
      <c r="A21" s="3" t="s">
        <v>102</v>
      </c>
      <c r="B21" s="1">
        <v>4</v>
      </c>
      <c r="C21" s="2" t="s">
        <v>103</v>
      </c>
      <c r="D21" s="2" t="s">
        <v>104</v>
      </c>
      <c r="E21" s="2" t="s">
        <v>105</v>
      </c>
      <c r="F21" s="3" t="s">
        <v>106</v>
      </c>
      <c r="G21" s="3" t="s">
        <v>107</v>
      </c>
      <c r="H21" s="4" t="s">
        <v>163</v>
      </c>
    </row>
    <row r="22" spans="1:8" ht="30" x14ac:dyDescent="0.25">
      <c r="A22" s="3" t="s">
        <v>108</v>
      </c>
      <c r="B22" s="1">
        <v>1</v>
      </c>
      <c r="C22" s="2" t="s">
        <v>64</v>
      </c>
      <c r="D22" s="2" t="s">
        <v>169</v>
      </c>
      <c r="E22" s="2" t="s">
        <v>197</v>
      </c>
      <c r="F22" s="3" t="s">
        <v>109</v>
      </c>
      <c r="G22" s="3" t="s">
        <v>191</v>
      </c>
      <c r="H22" s="4" t="s">
        <v>163</v>
      </c>
    </row>
    <row r="23" spans="1:8" ht="30" x14ac:dyDescent="0.25">
      <c r="A23" s="3" t="s">
        <v>110</v>
      </c>
      <c r="B23" s="1">
        <v>1</v>
      </c>
      <c r="C23" s="2" t="s">
        <v>64</v>
      </c>
      <c r="D23" s="2" t="s">
        <v>64</v>
      </c>
      <c r="E23" s="2" t="s">
        <v>196</v>
      </c>
      <c r="F23" s="3" t="s">
        <v>111</v>
      </c>
      <c r="G23" s="3" t="s">
        <v>192</v>
      </c>
      <c r="H23" s="1" t="s">
        <v>64</v>
      </c>
    </row>
    <row r="24" spans="1:8" ht="30" x14ac:dyDescent="0.25">
      <c r="A24" s="3" t="s">
        <v>112</v>
      </c>
      <c r="B24" s="1">
        <v>2</v>
      </c>
      <c r="C24" s="2" t="s">
        <v>64</v>
      </c>
      <c r="D24" s="2" t="s">
        <v>64</v>
      </c>
      <c r="E24" s="2" t="s">
        <v>196</v>
      </c>
      <c r="F24" s="3" t="s">
        <v>113</v>
      </c>
      <c r="G24" s="3" t="s">
        <v>193</v>
      </c>
      <c r="H24" s="1" t="s">
        <v>64</v>
      </c>
    </row>
    <row r="25" spans="1:8" ht="30" x14ac:dyDescent="0.25">
      <c r="A25" s="3" t="s">
        <v>114</v>
      </c>
      <c r="B25" s="1">
        <v>2</v>
      </c>
      <c r="C25" s="2" t="s">
        <v>64</v>
      </c>
      <c r="D25" s="2" t="s">
        <v>64</v>
      </c>
      <c r="E25" s="2" t="s">
        <v>196</v>
      </c>
      <c r="F25" s="3" t="s">
        <v>115</v>
      </c>
      <c r="G25" s="3" t="s">
        <v>194</v>
      </c>
      <c r="H25" s="1" t="s">
        <v>64</v>
      </c>
    </row>
    <row r="26" spans="1:8" ht="30" x14ac:dyDescent="0.25">
      <c r="A26" s="3" t="s">
        <v>116</v>
      </c>
      <c r="B26" s="1">
        <v>3</v>
      </c>
      <c r="C26" s="2" t="s">
        <v>64</v>
      </c>
      <c r="D26" s="2" t="s">
        <v>64</v>
      </c>
      <c r="E26" s="2" t="s">
        <v>196</v>
      </c>
      <c r="F26" s="3" t="s">
        <v>117</v>
      </c>
      <c r="G26" s="3" t="s">
        <v>195</v>
      </c>
      <c r="H26" s="1" t="s">
        <v>64</v>
      </c>
    </row>
    <row r="27" spans="1:8" ht="30" x14ac:dyDescent="0.25">
      <c r="A27" s="3" t="s">
        <v>118</v>
      </c>
      <c r="B27" s="1">
        <v>4</v>
      </c>
      <c r="C27" s="2" t="s">
        <v>119</v>
      </c>
      <c r="D27" s="2" t="s">
        <v>119</v>
      </c>
      <c r="E27" s="2" t="s">
        <v>120</v>
      </c>
      <c r="F27" s="3" t="s">
        <v>121</v>
      </c>
      <c r="G27" s="3" t="s">
        <v>122</v>
      </c>
      <c r="H27" s="4" t="s">
        <v>163</v>
      </c>
    </row>
    <row r="28" spans="1:8" ht="30" x14ac:dyDescent="0.25">
      <c r="A28" s="3" t="s">
        <v>123</v>
      </c>
      <c r="B28" s="1">
        <v>8</v>
      </c>
      <c r="C28" s="2" t="s">
        <v>124</v>
      </c>
      <c r="D28" s="2" t="s">
        <v>124</v>
      </c>
      <c r="E28" s="2" t="s">
        <v>125</v>
      </c>
      <c r="F28" s="3" t="s">
        <v>126</v>
      </c>
      <c r="G28" s="3" t="s">
        <v>127</v>
      </c>
      <c r="H28" s="4" t="s">
        <v>163</v>
      </c>
    </row>
    <row r="29" spans="1:8" ht="30" x14ac:dyDescent="0.25">
      <c r="A29" s="3" t="s">
        <v>128</v>
      </c>
      <c r="B29" s="1">
        <v>1</v>
      </c>
      <c r="C29" s="2" t="s">
        <v>129</v>
      </c>
      <c r="D29" s="2" t="s">
        <v>129</v>
      </c>
      <c r="E29" s="2" t="s">
        <v>93</v>
      </c>
      <c r="F29" s="3" t="s">
        <v>94</v>
      </c>
      <c r="G29" s="3" t="s">
        <v>130</v>
      </c>
      <c r="H29" s="4" t="s">
        <v>163</v>
      </c>
    </row>
    <row r="30" spans="1:8" ht="30" x14ac:dyDescent="0.25">
      <c r="A30" s="3" t="s">
        <v>131</v>
      </c>
      <c r="B30" s="1">
        <v>9</v>
      </c>
      <c r="C30" s="2" t="s">
        <v>132</v>
      </c>
      <c r="D30" s="2" t="s">
        <v>133</v>
      </c>
      <c r="E30" s="2" t="s">
        <v>68</v>
      </c>
      <c r="F30" s="3" t="s">
        <v>134</v>
      </c>
      <c r="G30" s="3" t="s">
        <v>135</v>
      </c>
      <c r="H30" s="4" t="s">
        <v>163</v>
      </c>
    </row>
    <row r="31" spans="1:8" ht="30" x14ac:dyDescent="0.25">
      <c r="A31" s="3" t="s">
        <v>136</v>
      </c>
      <c r="B31" s="1">
        <v>4</v>
      </c>
      <c r="C31" s="2" t="s">
        <v>137</v>
      </c>
      <c r="D31" s="2" t="s">
        <v>138</v>
      </c>
      <c r="E31" s="2" t="s">
        <v>139</v>
      </c>
      <c r="F31" s="3" t="s">
        <v>140</v>
      </c>
      <c r="G31" s="3" t="s">
        <v>141</v>
      </c>
      <c r="H31" s="4" t="s">
        <v>163</v>
      </c>
    </row>
    <row r="32" spans="1:8" ht="30" x14ac:dyDescent="0.25">
      <c r="A32" s="3" t="s">
        <v>142</v>
      </c>
      <c r="B32" s="1">
        <v>1</v>
      </c>
      <c r="C32" s="2" t="s">
        <v>143</v>
      </c>
      <c r="D32" s="2" t="s">
        <v>144</v>
      </c>
      <c r="E32" s="2" t="s">
        <v>145</v>
      </c>
      <c r="F32" s="3" t="s">
        <v>146</v>
      </c>
      <c r="G32" s="3" t="s">
        <v>147</v>
      </c>
      <c r="H32" s="4" t="s">
        <v>163</v>
      </c>
    </row>
    <row r="33" spans="1:8" x14ac:dyDescent="0.25">
      <c r="A33" s="3" t="s">
        <v>148</v>
      </c>
      <c r="B33" s="1">
        <v>1</v>
      </c>
      <c r="C33" s="2" t="s">
        <v>149</v>
      </c>
      <c r="D33" s="2" t="s">
        <v>150</v>
      </c>
      <c r="E33" s="2" t="s">
        <v>80</v>
      </c>
      <c r="F33" s="3" t="s">
        <v>151</v>
      </c>
      <c r="G33" s="3" t="s">
        <v>152</v>
      </c>
      <c r="H33" s="4" t="s">
        <v>163</v>
      </c>
    </row>
    <row r="34" spans="1:8" ht="30" x14ac:dyDescent="0.25">
      <c r="A34" s="3" t="s">
        <v>153</v>
      </c>
      <c r="B34" s="1">
        <v>15</v>
      </c>
      <c r="C34" s="2" t="s">
        <v>154</v>
      </c>
      <c r="D34" s="2" t="s">
        <v>155</v>
      </c>
      <c r="E34" s="2" t="s">
        <v>156</v>
      </c>
      <c r="F34" s="3" t="s">
        <v>157</v>
      </c>
      <c r="G34" s="3" t="s">
        <v>141</v>
      </c>
      <c r="H34" s="4" t="s">
        <v>163</v>
      </c>
    </row>
    <row r="35" spans="1:8" x14ac:dyDescent="0.25">
      <c r="A35" s="3" t="s">
        <v>158</v>
      </c>
      <c r="B35" s="1">
        <v>4</v>
      </c>
      <c r="C35" s="2" t="s">
        <v>159</v>
      </c>
      <c r="D35" s="2" t="s">
        <v>160</v>
      </c>
      <c r="E35" s="2" t="s">
        <v>68</v>
      </c>
      <c r="F35" s="3" t="s">
        <v>161</v>
      </c>
      <c r="G35" s="3" t="s">
        <v>162</v>
      </c>
      <c r="H35" s="4" t="s">
        <v>163</v>
      </c>
    </row>
    <row r="36" spans="1:8" x14ac:dyDescent="0.25">
      <c r="A36" s="3" t="s">
        <v>164</v>
      </c>
      <c r="H36" s="1">
        <f>SUBTOTAL(103,MYT_PCB[Datasheet])</f>
        <v>34</v>
      </c>
    </row>
  </sheetData>
  <hyperlinks>
    <hyperlink ref="H35" r:id="rId1" xr:uid="{7CF011F2-0732-4798-A62A-8F72779DFA56}"/>
    <hyperlink ref="H34" r:id="rId2" xr:uid="{E73C034D-CC84-40AC-B0C0-D5237B0B374E}"/>
    <hyperlink ref="H33" r:id="rId3" xr:uid="{0A6F2CE5-2C3C-4088-8D92-A410F8AD5B9C}"/>
    <hyperlink ref="H32" r:id="rId4" xr:uid="{718D03F5-750C-4C16-88D2-4383C5E69041}"/>
    <hyperlink ref="H31" r:id="rId5" xr:uid="{FEBC1357-AFFE-4840-8B48-E8733444A333}"/>
    <hyperlink ref="H30" r:id="rId6" xr:uid="{0620453D-51BD-4F32-826F-DD6BF1159A90}"/>
    <hyperlink ref="H29" r:id="rId7" xr:uid="{110328F7-19BE-4434-BAAB-CD3065EBA7CA}"/>
    <hyperlink ref="H28" r:id="rId8" xr:uid="{DEAA92D6-45AA-4874-A146-C1751E5E3157}"/>
    <hyperlink ref="H27" r:id="rId9" xr:uid="{016C15A8-26F4-42E3-9DA3-FA319F86214A}"/>
    <hyperlink ref="H21" r:id="rId10" xr:uid="{7001C30B-5418-474B-AFF8-1311E3E59DE8}"/>
    <hyperlink ref="H20" r:id="rId11" xr:uid="{1BBA0CD0-2F68-4C50-A8A3-EF62825142BD}"/>
    <hyperlink ref="H19" r:id="rId12" xr:uid="{81C570A6-AAF8-47DB-B85A-7628FE2CB0FE}"/>
    <hyperlink ref="H18" r:id="rId13" xr:uid="{3E66C895-68DF-4806-BD78-03695365B968}"/>
    <hyperlink ref="H17" r:id="rId14" xr:uid="{41EF39E6-79EE-4B78-93C7-4A3CEADC53E1}"/>
    <hyperlink ref="H16" r:id="rId15" xr:uid="{E3D5BFC2-4431-43E5-AF23-A88AB7407434}"/>
    <hyperlink ref="H15" r:id="rId16" xr:uid="{EB05AF6E-8B9A-4716-A9C1-97E18E92C8B4}"/>
    <hyperlink ref="H14" r:id="rId17" xr:uid="{DD765C73-D4B9-4817-A85D-257BA0BCE072}"/>
    <hyperlink ref="H12" r:id="rId18" xr:uid="{545D4B45-59C9-487F-A960-6CE8A4EFF0A5}"/>
    <hyperlink ref="H11" r:id="rId19" xr:uid="{E877E518-4A37-4B97-B586-DFFC1871BB2F}"/>
    <hyperlink ref="H10" r:id="rId20" xr:uid="{50DA629F-90FD-4C69-8B3D-47E30B5458FF}"/>
    <hyperlink ref="H9" r:id="rId21" xr:uid="{5C706AA0-8B81-4F05-A757-A97E6E0AF52B}"/>
    <hyperlink ref="H8" r:id="rId22" xr:uid="{E50D744C-C558-44BF-B2BE-0D7E3E7BE2E4}"/>
    <hyperlink ref="H7" r:id="rId23" xr:uid="{F0D9EFDD-76FB-42A9-95AE-F8450EC96A7B}"/>
    <hyperlink ref="H6" r:id="rId24" xr:uid="{F21B5E77-4E60-41AD-89C9-196714CBD133}"/>
    <hyperlink ref="H5" r:id="rId25" xr:uid="{26539BD4-CCA1-4DDA-B407-BFA6123BCCBF}"/>
    <hyperlink ref="H4" r:id="rId26" xr:uid="{25460F3B-3F7D-42F4-8873-55E0E2F91779}"/>
    <hyperlink ref="H3" r:id="rId27" xr:uid="{880A16EA-9C85-4518-B8F9-6479F353E3E1}"/>
    <hyperlink ref="H2" r:id="rId28" xr:uid="{3018E0CF-B4E3-40AE-8C5C-F4E89B02BC40}"/>
    <hyperlink ref="H22" r:id="rId29" xr:uid="{5E7C80B6-38C9-481C-9A37-6754177950FC}"/>
  </hyperlinks>
  <pageMargins left="0.23622047244094488" right="0.23622047244094488" top="0.74803149606299213" bottom="0.74803149606299213" header="0.31496062992125984" footer="0.31496062992125984"/>
  <pageSetup paperSize="9" scale="69" fitToHeight="0" orientation="landscape" r:id="rId30"/>
  <headerFooter>
    <oddHeader>&amp;L&amp;D - Theo Pires&amp;CBOM - MYT_CONTROLADOR&amp;RPágina &amp;P</oddHeader>
  </headerFooter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6B2C-CFAE-4EFC-9B15-0788028BFEFF}">
  <sheetPr>
    <pageSetUpPr fitToPage="1"/>
  </sheetPr>
  <dimension ref="A1:H10"/>
  <sheetViews>
    <sheetView showGridLines="0" workbookViewId="0">
      <selection activeCell="D8" sqref="D8"/>
    </sheetView>
  </sheetViews>
  <sheetFormatPr defaultRowHeight="15" x14ac:dyDescent="0.25"/>
  <cols>
    <col min="1" max="1" width="21.85546875" style="2" bestFit="1" customWidth="1"/>
    <col min="2" max="2" width="6.42578125" style="1" bestFit="1" customWidth="1"/>
    <col min="3" max="3" width="12" style="2" bestFit="1" customWidth="1"/>
    <col min="4" max="4" width="18.85546875" style="2" bestFit="1" customWidth="1"/>
    <col min="5" max="5" width="10.5703125" style="2" bestFit="1" customWidth="1"/>
    <col min="6" max="6" width="63.28515625" style="2" bestFit="1" customWidth="1"/>
    <col min="7" max="7" width="48.7109375" style="2" bestFit="1" customWidth="1"/>
    <col min="8" max="8" width="10.28515625" style="1" bestFit="1" customWidth="1"/>
    <col min="9" max="16384" width="9.140625" style="2"/>
  </cols>
  <sheetData>
    <row r="1" spans="1:8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2" t="s">
        <v>165</v>
      </c>
      <c r="B2" s="1">
        <v>3</v>
      </c>
      <c r="C2" s="2" t="s">
        <v>166</v>
      </c>
      <c r="D2" s="2" t="s">
        <v>167</v>
      </c>
      <c r="E2" s="2" t="s">
        <v>156</v>
      </c>
      <c r="F2" s="2" t="s">
        <v>157</v>
      </c>
      <c r="G2" s="6" t="s">
        <v>190</v>
      </c>
      <c r="H2" s="4" t="s">
        <v>163</v>
      </c>
    </row>
    <row r="3" spans="1:8" x14ac:dyDescent="0.25">
      <c r="A3" s="2" t="s">
        <v>168</v>
      </c>
      <c r="B3" s="1">
        <v>2</v>
      </c>
      <c r="C3" s="2" t="s">
        <v>64</v>
      </c>
      <c r="D3" s="2" t="s">
        <v>198</v>
      </c>
      <c r="E3" s="2" t="s">
        <v>197</v>
      </c>
      <c r="F3" s="2" t="s">
        <v>109</v>
      </c>
      <c r="G3" s="2" t="s">
        <v>170</v>
      </c>
      <c r="H3" s="4" t="s">
        <v>163</v>
      </c>
    </row>
    <row r="4" spans="1:8" x14ac:dyDescent="0.25">
      <c r="A4" s="2" t="s">
        <v>171</v>
      </c>
      <c r="B4" s="1">
        <v>1</v>
      </c>
      <c r="C4" s="2" t="s">
        <v>172</v>
      </c>
      <c r="D4" s="2" t="s">
        <v>199</v>
      </c>
      <c r="E4" s="2" t="s">
        <v>197</v>
      </c>
      <c r="F4" s="2" t="s">
        <v>173</v>
      </c>
      <c r="G4" s="2" t="s">
        <v>174</v>
      </c>
      <c r="H4" s="4" t="s">
        <v>163</v>
      </c>
    </row>
    <row r="5" spans="1:8" x14ac:dyDescent="0.25">
      <c r="A5" s="2" t="s">
        <v>175</v>
      </c>
      <c r="B5" s="1">
        <v>1</v>
      </c>
      <c r="C5" s="2" t="s">
        <v>176</v>
      </c>
      <c r="D5" s="2" t="s">
        <v>200</v>
      </c>
      <c r="E5" s="2" t="s">
        <v>197</v>
      </c>
      <c r="F5" s="2" t="s">
        <v>177</v>
      </c>
      <c r="G5" s="2" t="s">
        <v>178</v>
      </c>
      <c r="H5" s="4" t="s">
        <v>163</v>
      </c>
    </row>
    <row r="6" spans="1:8" x14ac:dyDescent="0.25">
      <c r="A6" s="2" t="s">
        <v>110</v>
      </c>
      <c r="B6" s="1">
        <v>1</v>
      </c>
      <c r="C6" s="2" t="s">
        <v>179</v>
      </c>
      <c r="D6" s="2" t="s">
        <v>201</v>
      </c>
      <c r="E6" s="2" t="s">
        <v>197</v>
      </c>
      <c r="F6" s="2" t="s">
        <v>180</v>
      </c>
      <c r="G6" s="2" t="s">
        <v>181</v>
      </c>
      <c r="H6" s="4" t="s">
        <v>163</v>
      </c>
    </row>
    <row r="7" spans="1:8" x14ac:dyDescent="0.25">
      <c r="A7" s="2" t="s">
        <v>182</v>
      </c>
      <c r="B7" s="1">
        <v>7</v>
      </c>
      <c r="C7" s="2" t="s">
        <v>84</v>
      </c>
      <c r="D7" s="2" t="s">
        <v>183</v>
      </c>
      <c r="E7" s="2" t="s">
        <v>139</v>
      </c>
      <c r="F7" s="2" t="s">
        <v>184</v>
      </c>
      <c r="G7" s="2" t="s">
        <v>86</v>
      </c>
      <c r="H7" s="4" t="s">
        <v>163</v>
      </c>
    </row>
    <row r="8" spans="1:8" x14ac:dyDescent="0.25">
      <c r="A8" s="2" t="s">
        <v>50</v>
      </c>
      <c r="B8" s="1">
        <v>1</v>
      </c>
      <c r="C8" s="2" t="s">
        <v>185</v>
      </c>
      <c r="D8" s="2" t="s">
        <v>185</v>
      </c>
      <c r="E8" s="2" t="s">
        <v>186</v>
      </c>
      <c r="F8" s="2" t="s">
        <v>187</v>
      </c>
      <c r="G8" s="2" t="s">
        <v>188</v>
      </c>
      <c r="H8" s="4" t="s">
        <v>163</v>
      </c>
    </row>
    <row r="9" spans="1:8" x14ac:dyDescent="0.25">
      <c r="A9" s="2" t="s">
        <v>189</v>
      </c>
      <c r="B9" s="1">
        <v>1</v>
      </c>
      <c r="C9" s="2" t="s">
        <v>9</v>
      </c>
      <c r="D9" s="2" t="s">
        <v>9</v>
      </c>
      <c r="E9" s="2" t="s">
        <v>10</v>
      </c>
      <c r="F9" s="2" t="s">
        <v>11</v>
      </c>
      <c r="G9" s="2" t="s">
        <v>12</v>
      </c>
      <c r="H9" s="4" t="s">
        <v>163</v>
      </c>
    </row>
    <row r="10" spans="1:8" x14ac:dyDescent="0.25">
      <c r="A10" s="2" t="s">
        <v>164</v>
      </c>
      <c r="H10" s="1">
        <f>SUBTOTAL(103,MYT_IHM_PCB[Datasheet])</f>
        <v>8</v>
      </c>
    </row>
  </sheetData>
  <hyperlinks>
    <hyperlink ref="H9" r:id="rId1" xr:uid="{BE904D7D-FD62-4372-A5B0-C78AFCDF6319}"/>
    <hyperlink ref="H8" r:id="rId2" xr:uid="{A8C9D8D3-7D38-4220-B87E-BC51B8572DCC}"/>
    <hyperlink ref="H7" r:id="rId3" xr:uid="{47655F3E-86BD-482E-AD00-A1AD4FC7083F}"/>
    <hyperlink ref="H6" r:id="rId4" xr:uid="{8CBE47B6-5E73-499C-A644-D1D6DCB1563B}"/>
    <hyperlink ref="H5" r:id="rId5" xr:uid="{527A182C-4954-4756-BFF7-6419DF861569}"/>
    <hyperlink ref="H4" r:id="rId6" xr:uid="{EEF59968-C28B-4E39-A35D-331E9B80CA15}"/>
    <hyperlink ref="H3" r:id="rId7" xr:uid="{05940DFD-58FA-4B28-B43D-C1F0875C3BA6}"/>
    <hyperlink ref="H2" r:id="rId8" xr:uid="{DF29CCBE-99B9-4B18-A9BB-935BE8755FBA}"/>
  </hyperlinks>
  <pageMargins left="0.23622047244094488" right="0.23622047244094488" top="0.74803149606299213" bottom="0.74803149606299213" header="0.31496062992125984" footer="0.31496062992125984"/>
  <pageSetup paperSize="9" scale="74" fitToHeight="0" orientation="landscape" r:id="rId9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C9FC43-C3AD-4839-B3DB-6DCA699B1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MYT_PCB</vt:lpstr>
      <vt:lpstr>MYT_IHM_PCB</vt:lpstr>
      <vt:lpstr>MYT_PCB!Titulos_de_impressao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Pires</dc:creator>
  <cp:lastModifiedBy>Theo Pires</cp:lastModifiedBy>
  <cp:lastPrinted>2026-05-24T23:37:35Z</cp:lastPrinted>
  <dcterms:created xsi:type="dcterms:W3CDTF">2026-05-24T22:32:10Z</dcterms:created>
  <dcterms:modified xsi:type="dcterms:W3CDTF">2026-06-01T02:37:56Z</dcterms:modified>
</cp:coreProperties>
</file>